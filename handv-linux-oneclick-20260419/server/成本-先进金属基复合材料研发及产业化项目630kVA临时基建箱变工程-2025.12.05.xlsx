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汇总清单" sheetId="4" r:id="rId1"/>
    <sheet name="材料清单" sheetId="1" r:id="rId2"/>
    <sheet name="施工清单" sheetId="2" r:id="rId3"/>
    <sheet name="调试清单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<sst xmlns="http://schemas.openxmlformats.org/spreadsheetml/2006/main" count="114" uniqueCount="71">
  <si>
    <t>汇总清单</t>
  </si>
  <si>
    <t>项目名称：先进金属基复合材料研发及产业化项目630kVA临时基建箱变工程</t>
  </si>
  <si>
    <t>序号</t>
  </si>
  <si>
    <t>项目名称</t>
  </si>
  <si>
    <t>价格</t>
  </si>
  <si>
    <t>备注</t>
  </si>
  <si>
    <t>合计</t>
  </si>
  <si>
    <t>表1-材料清单</t>
  </si>
  <si>
    <t>项目特征描述</t>
  </si>
  <si>
    <t>计量单位</t>
  </si>
  <si>
    <t>工程量</t>
  </si>
  <si>
    <t>单价</t>
  </si>
  <si>
    <t>总价</t>
  </si>
  <si>
    <r>
      <t>630KVA</t>
    </r>
    <r>
      <rPr>
        <sz val="9"/>
        <rFont val="宋体"/>
        <charset val="0"/>
      </rPr>
      <t>终端型箱变</t>
    </r>
  </si>
  <si>
    <t>1、位置：三河县
2、低压出线：630A*3,400A*3</t>
  </si>
  <si>
    <t>台</t>
  </si>
  <si>
    <t>电力电缆</t>
  </si>
  <si>
    <t>1.型号: YJLV22-8.7/15kV-3x70
2.规格:70mm2以下
3.电压等级（KV）:10</t>
  </si>
  <si>
    <t>米</t>
  </si>
  <si>
    <t>电力电缆头</t>
  </si>
  <si>
    <t>1.终端型号、规格:YJLV22-8.7/15kV 3x70m2户内(普通)
2.电压等级：AC 10kV</t>
  </si>
  <si>
    <t>套</t>
  </si>
  <si>
    <t>1.终端型号、规格:YJLV22-8.7/15kV 3x70mm2户内(肘式接头)
2.电压等级：AC 10kV</t>
  </si>
  <si>
    <t>接线端子</t>
  </si>
  <si>
    <t>1.名称:接线端子
2.规格:70mm2以内
3.材质:铝电线压铝接线端子</t>
  </si>
  <si>
    <t>个</t>
  </si>
  <si>
    <r>
      <t>电缆保护管</t>
    </r>
    <r>
      <rPr>
        <sz val="9"/>
        <rFont val="Arial"/>
        <charset val="0"/>
      </rPr>
      <t>(</t>
    </r>
    <r>
      <rPr>
        <sz val="9"/>
        <rFont val="宋体"/>
        <charset val="0"/>
      </rPr>
      <t>拉管</t>
    </r>
    <r>
      <rPr>
        <sz val="9"/>
        <rFont val="Arial"/>
        <charset val="0"/>
      </rPr>
      <t>)</t>
    </r>
  </si>
  <si>
    <t xml:space="preserve">PE管-直径160 </t>
  </si>
  <si>
    <t>电缆标桩</t>
  </si>
  <si>
    <t>15*15*100cm玻璃钢</t>
  </si>
  <si>
    <t>电缆故障指示器</t>
  </si>
  <si>
    <t>材质：抗UV阻燃工程塑料外壳
开口尺寸：92*44mm</t>
  </si>
  <si>
    <t>标识牌</t>
  </si>
  <si>
    <t>面</t>
  </si>
  <si>
    <t>阻火包</t>
  </si>
  <si>
    <t>320*180*40mm</t>
  </si>
  <si>
    <t>包</t>
  </si>
  <si>
    <t>防火堵料</t>
  </si>
  <si>
    <t>kg</t>
  </si>
  <si>
    <t>表2-施工清单</t>
  </si>
  <si>
    <t>箱变基础</t>
  </si>
  <si>
    <t>630KVA终端型箱变</t>
  </si>
  <si>
    <t>座</t>
  </si>
  <si>
    <t>箱变安装</t>
  </si>
  <si>
    <t>放电缆</t>
  </si>
  <si>
    <t>YJLV22-8.7/15kV-3x70</t>
  </si>
  <si>
    <t>制作电缆头</t>
  </si>
  <si>
    <t>YJLV22-8.7/15kV 3x70mm2</t>
  </si>
  <si>
    <t>含材料</t>
  </si>
  <si>
    <t>安装电缆标桩</t>
  </si>
  <si>
    <t>拉管施工</t>
  </si>
  <si>
    <t>PE管-直径160</t>
  </si>
  <si>
    <t>围挡施工</t>
  </si>
  <si>
    <t>表3-调试清单</t>
  </si>
  <si>
    <t>电力变压器系统</t>
  </si>
  <si>
    <t>1.名称:变压器系统调试
2.容里(kV.A):630</t>
  </si>
  <si>
    <t>系统</t>
  </si>
  <si>
    <t>送配电装置系统</t>
  </si>
  <si>
    <t>1.名称:断路器系统调试
2.电压等级(v):10</t>
  </si>
  <si>
    <t>电缆试验</t>
  </si>
  <si>
    <t>1.名称:电缆交流耐压试验
2.电压等级(V):12</t>
  </si>
  <si>
    <t>根</t>
  </si>
  <si>
    <t>不间断电源</t>
  </si>
  <si>
    <t>1.名称:UPS调试
2.容量:1kv·A以下</t>
  </si>
  <si>
    <t>避雷器</t>
  </si>
  <si>
    <t>1.名称:高压避雷器调试
2.电压等级 (v):10</t>
  </si>
  <si>
    <t>组</t>
  </si>
  <si>
    <t>电容器</t>
  </si>
  <si>
    <t>1.名称:电容器调试
2.电压等级(kV):1</t>
  </si>
  <si>
    <t>接地装置</t>
  </si>
  <si>
    <t>1.名称:接地系统调试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</si>
</sst>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9"/>
      <name val="宋体"/>
      <charset val="0"/>
    </font>
    <font>
      <sz val="9"/>
      <name val="Arial"/>
      <charset val="0"/>
    </font>
    <font>
      <sz val="9"/>
      <color indexed="8"/>
      <name val="宋体"/>
      <charset val="134"/>
    </font>
    <font>
      <b/>
      <sz val="12"/>
      <color theme="1"/>
      <name val="宋体"/>
      <charset val="134"/>
      <scheme val="minor"/>
    </font>
    <font>
      <b/>
      <sz val="12"/>
      <name val="宋体"/>
      <charset val="0"/>
    </font>
    <font>
      <b/>
      <sz val="12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5" applyNumberFormat="0" applyAlignment="0" applyProtection="0">
      <alignment vertical="center"/>
    </xf>
    <xf numFmtId="0" fontId="19" fillId="4" borderId="6" applyNumberFormat="0" applyAlignment="0" applyProtection="0">
      <alignment vertical="center"/>
    </xf>
    <xf numFmtId="0" fontId="20" fillId="4" borderId="5" applyNumberFormat="0" applyAlignment="0" applyProtection="0">
      <alignment vertical="center"/>
    </xf>
    <xf numFmtId="0" fontId="21" fillId="5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43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43" fontId="1" fillId="0" borderId="0" xfId="0" applyNumberFormat="1" applyFont="1" applyFill="1" applyAlignment="1">
      <alignment horizontal="center" vertical="center"/>
    </xf>
    <xf numFmtId="0" fontId="0" fillId="0" borderId="0" xfId="0" applyFill="1" applyAlignment="1">
      <alignment horizontal="left"/>
    </xf>
    <xf numFmtId="0" fontId="0" fillId="0" borderId="1" xfId="0" applyFill="1" applyBorder="1" applyAlignment="1">
      <alignment horizontal="center" vertical="center"/>
    </xf>
    <xf numFmtId="4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4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Fill="1">
      <alignment vertical="center"/>
    </xf>
    <xf numFmtId="43" fontId="0" fillId="0" borderId="0" xfId="0" applyNumberForma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 vertical="center"/>
    </xf>
    <xf numFmtId="43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3" fontId="2" fillId="0" borderId="1" xfId="0" applyNumberFormat="1" applyFont="1" applyBorder="1">
      <alignment vertical="center"/>
    </xf>
    <xf numFmtId="43" fontId="2" fillId="0" borderId="1" xfId="0" applyNumberFormat="1" applyFont="1" applyFill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43" fontId="2" fillId="0" borderId="0" xfId="0" applyNumberFormat="1" applyFont="1">
      <alignment vertical="center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0" fillId="0" borderId="1" xfId="0" applyFont="1" applyBorder="1" applyAlignment="1">
      <alignment horizontal="center" vertical="center"/>
    </xf>
    <xf numFmtId="43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6" fillId="0" borderId="1" xfId="0" applyFont="1" applyFill="1" applyBorder="1" applyAlignment="1" applyProtection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43" fontId="3" fillId="0" borderId="0" xfId="0" applyNumberFormat="1" applyFont="1">
      <alignment vertic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1" xfId="0" applyFont="1" applyBorder="1" applyAlignment="1">
      <alignment horizontal="center" vertical="center"/>
    </xf>
    <xf numFmtId="43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 wrapText="1"/>
    </xf>
    <xf numFmtId="43" fontId="7" fillId="0" borderId="1" xfId="0" applyNumberFormat="1" applyFont="1" applyBorder="1">
      <alignment vertical="center"/>
    </xf>
    <xf numFmtId="0" fontId="7" fillId="0" borderId="1" xfId="0" applyFont="1" applyBorder="1">
      <alignment vertical="center"/>
    </xf>
    <xf numFmtId="0" fontId="9" fillId="0" borderId="1" xfId="0" applyFont="1" applyFill="1" applyBorder="1" applyAlignment="1" applyProtection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2">
    <dxf>
      <numFmt numFmtId="43" formatCode="_ * #,##0.00_ ;_ * \-#,##0.00_ ;_ * &quot;-&quot;??_ ;_ @_ "/>
    </dxf>
    <dxf>
      <numFmt numFmtId="43" formatCode="_ * #,##0.00_ ;_ * \-#,##0.00_ ;_ * &quot;-&quot;??_ ;_ @_ "/>
    </dxf>
    <dxf>
      <font>
        <sz val="9"/>
      </font>
    </dxf>
    <dxf>
      <font>
        <sz val="9"/>
      </font>
    </dxf>
    <dxf>
      <font>
        <sz val="9"/>
      </font>
      <alignment horizontal="center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  <numFmt numFmtId="43" formatCode="_ * #,##0.00_ ;_ * \-#,##0.00_ ;_ * &quot;-&quot;??_ ;_ @_ 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  <numFmt numFmtId="0" formatCode="General"/>
    </dxf>
    <dxf>
      <font>
        <sz val="9"/>
      </font>
    </dxf>
    <dxf>
      <fill>
        <patternFill patternType="solid">
          <fgColor rgb="FF000000" tint="0.799981688894314"/>
          <bgColor rgb="FF000000" tint="0.799981688894314"/>
        </patternFill>
      </fill>
    </dxf>
    <dxf>
      <fill>
        <patternFill patternType="solid">
          <fgColor rgb="FF000000" tint="0.799981688894314"/>
          <bgColor rgb="FF000000" tint="0.799981688894314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top style="double">
          <color rgb="FF000000"/>
        </top>
      </border>
    </dxf>
    <dxf>
      <font>
        <b val="1"/>
        <color rgb="FF000000"/>
      </font>
      <border>
        <bottom style="medium">
          <color rgb="FF000000"/>
        </bottom>
      </border>
    </dxf>
    <dxf>
      <font>
        <color rgb="FF000000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399975585192419"/>
        </vertical>
        <horizontal style="thin">
          <color rgb="FF000000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2_Dark" pivot="0" count="7" xr9:uid="{3E750325-DEEA-4B6D-BF6C-75CA4B610925}">
      <tableStyleElement type="wholeTable" dxfId="24"/>
      <tableStyleElement type="headerRow" dxfId="23"/>
      <tableStyleElement type="totalRow" dxfId="22"/>
      <tableStyleElement type="firstColumn" dxfId="21"/>
      <tableStyleElement type="lastColumn" dxfId="20"/>
      <tableStyleElement type="firstRowStripe" dxfId="19"/>
      <tableStyleElement type="firstColumnStripe" dxfId="18"/>
    </tableStyle>
    <tableStyle name="TableStylePreset3_Accent1" pivot="0" count="7" xr9:uid="{59DB682C-5494-4EDE-A608-00C9E5F0F923}">
      <tableStyleElement type="wholeTable" dxfId="31"/>
      <tableStyleElement type="headerRow" dxfId="30"/>
      <tableStyleElement type="totalRow" dxfId="29"/>
      <tableStyleElement type="firstColumn" dxfId="28"/>
      <tableStyleElement type="lastColumn" dxfId="27"/>
      <tableStyleElement type="firstRowStripe" dxfId="26"/>
      <tableStyleElement type="firstColumnStripe" dxfId="25"/>
    </tableStyle>
    <tableStyle name="PivotStylePreset2_Accent1" table="0" count="10" xr9:uid="{267968C8-6FFD-4C36-ACC1-9EA1FD1885CA}">
      <tableStyleElement type="headerRow" dxfId="41"/>
      <tableStyleElement type="totalRow" dxfId="40"/>
      <tableStyleElement type="firstRowStripe" dxfId="39"/>
      <tableStyleElement type="firstColumnStripe" dxfId="38"/>
      <tableStyleElement type="firstSubtotalRow" dxfId="37"/>
      <tableStyleElement type="secondSubtotalRow" dxfId="36"/>
      <tableStyleElement type="firstRowSubheading" dxfId="35"/>
      <tableStyleElement type="secondRowSubheading" dxfId="34"/>
      <tableStyleElement type="pageFieldLabels" dxfId="33"/>
      <tableStyleElement type="pageFieldValues" dxfId="3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表1_3" displayName="表1_3" ref="A3:D6" totalsRowShown="0">
  <autoFilter xmlns:etc="http://www.wps.cn/officeDocument/2017/etCustomData" ref="A3:D6" etc:filterBottomFollowUsedRange="0"/>
  <tableColumns count="4">
    <tableColumn id="1" name="序号"/>
    <tableColumn id="2" name="项目名称"/>
    <tableColumn id="7" name="价格" dataDxfId="0">
      <calculatedColumnFormula>A4*B4</calculatedColumnFormula>
    </tableColumn>
    <tableColumn id="8" name="备注"/>
  </tableColumns>
  <tableStyleInfo name="TableStylePreset2_Dark" showFirstColumn="1" showLastColumn="0" showRowStripes="0" showColumnStripes="0"/>
</table>
</file>

<file path=xl/tables/table2.xml><?xml version="1.0" encoding="utf-8"?>
<table xmlns="http://schemas.openxmlformats.org/spreadsheetml/2006/main" id="1" name="表1" displayName="表1" ref="A3:H14" totalsRowShown="0">
  <autoFilter xmlns:etc="http://www.wps.cn/officeDocument/2017/etCustomData" ref="A3:H14" etc:filterBottomFollowUsedRange="0"/>
  <tableColumns count="8">
    <tableColumn id="1" name="序号"/>
    <tableColumn id="3" name="项目名称"/>
    <tableColumn id="4" name="项目特征描述"/>
    <tableColumn id="5" name="计量单位"/>
    <tableColumn id="6" name="工程量"/>
    <tableColumn id="2" name="单价"/>
    <tableColumn id="7" name="总价" dataDxfId="1">
      <calculatedColumnFormula>E4*F4</calculatedColumnFormula>
    </tableColumn>
    <tableColumn id="8" name="备注"/>
  </tableColumns>
  <tableStyleInfo name="TableStylePreset2_Dark" showFirstColumn="1" showLastColumn="0" showRowStripes="0" showColumnStripes="0"/>
</table>
</file>

<file path=xl/tables/table3.xml><?xml version="1.0" encoding="utf-8"?>
<table xmlns="http://schemas.openxmlformats.org/spreadsheetml/2006/main" id="3" name="表1_4" displayName="表1_4" ref="A3:H10" totalsRowShown="0">
  <autoFilter xmlns:etc="http://www.wps.cn/officeDocument/2017/etCustomData" ref="A3:H10" etc:filterBottomFollowUsedRange="0"/>
  <tableColumns count="8">
    <tableColumn id="1" name="序号" dataDxfId="2"/>
    <tableColumn id="2" name="项目名称" dataDxfId="3"/>
    <tableColumn id="3" name="项目特征描述" dataDxfId="4"/>
    <tableColumn id="4" name="计量单位" dataDxfId="5"/>
    <tableColumn id="5" name="工程量" dataDxfId="6"/>
    <tableColumn id="6" name="单价" dataDxfId="7"/>
    <tableColumn id="7" name="总价" dataDxfId="8">
      <calculatedColumnFormula>E4*F4</calculatedColumnFormula>
    </tableColumn>
    <tableColumn id="8" name="备注" dataDxfId="9"/>
  </tableColumns>
  <tableStyleInfo name="TableStylePreset2_Dark" showFirstColumn="1" showLastColumn="0" showRowStripes="0" showColumnStripes="0"/>
</table>
</file>

<file path=xl/tables/table4.xml><?xml version="1.0" encoding="utf-8"?>
<table xmlns="http://schemas.openxmlformats.org/spreadsheetml/2006/main" id="4" name="表1_5" displayName="表1_5" ref="A3:H10" totalsRowShown="0">
  <autoFilter xmlns:etc="http://www.wps.cn/officeDocument/2017/etCustomData" ref="A3:H10" etc:filterBottomFollowUsedRange="0"/>
  <tableColumns count="8">
    <tableColumn id="1" name="序号" dataDxfId="10"/>
    <tableColumn id="2" name="项目名称" dataDxfId="11"/>
    <tableColumn id="3" name="项目特征描述" dataDxfId="12"/>
    <tableColumn id="4" name="计量单位" dataDxfId="13"/>
    <tableColumn id="5" name="工程量" dataDxfId="14"/>
    <tableColumn id="6" name="单价" dataDxfId="15"/>
    <tableColumn id="7" name="总价" dataDxfId="16">
      <calculatedColumnFormula>E4*F4</calculatedColumnFormula>
    </tableColumn>
    <tableColumn id="8" name="备注" dataDxfId="17"/>
  </tableColumns>
  <tableStyleInfo name="TableStylePreset2_Dark"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I7" sqref="I7"/>
    </sheetView>
  </sheetViews>
  <sheetFormatPr defaultColWidth="9" defaultRowHeight="45" customHeight="1" outlineLevelCol="3"/>
  <cols>
    <col min="1" max="1" width="9" style="44"/>
    <col min="2" max="2" width="30.7777777777778" style="44" customWidth="1"/>
    <col min="3" max="3" width="30.7777777777778" style="46" customWidth="1"/>
    <col min="4" max="4" width="30.7777777777778" style="44" customWidth="1"/>
    <col min="5" max="16384" width="9" style="44"/>
  </cols>
  <sheetData>
    <row r="1" customHeight="1" spans="1:4">
      <c r="A1" s="18" t="s">
        <v>0</v>
      </c>
      <c r="B1" s="18"/>
      <c r="C1" s="18"/>
      <c r="D1" s="18"/>
    </row>
    <row r="2" s="44" customFormat="1" customHeight="1" spans="1:4">
      <c r="A2" s="47" t="s">
        <v>1</v>
      </c>
      <c r="B2" s="48"/>
      <c r="C2" s="48"/>
      <c r="D2" s="48"/>
    </row>
    <row r="3" s="45" customFormat="1" customHeight="1" spans="1:4">
      <c r="A3" s="49" t="s">
        <v>2</v>
      </c>
      <c r="B3" s="49" t="s">
        <v>3</v>
      </c>
      <c r="C3" s="50" t="s">
        <v>4</v>
      </c>
      <c r="D3" s="51" t="s">
        <v>5</v>
      </c>
    </row>
    <row r="4" customHeight="1" spans="1:4">
      <c r="A4" s="52">
        <v>1</v>
      </c>
      <c r="B4" s="53" t="str">
        <f>材料清单!A1</f>
        <v>表1-材料清单</v>
      </c>
      <c r="C4" s="54">
        <f>材料清单!G15</f>
        <v>170520</v>
      </c>
      <c r="D4" s="55"/>
    </row>
    <row r="5" customHeight="1" spans="1:4">
      <c r="A5" s="52">
        <v>2</v>
      </c>
      <c r="B5" s="53" t="str">
        <f>施工清单!A1</f>
        <v>表2-施工清单</v>
      </c>
      <c r="C5" s="54">
        <f>施工清单!G11</f>
        <v>59380</v>
      </c>
      <c r="D5" s="55"/>
    </row>
    <row r="6" customHeight="1" spans="1:4">
      <c r="A6" s="52">
        <v>3</v>
      </c>
      <c r="B6" s="56" t="str">
        <f>调试清单!A1</f>
        <v>表3-调试清单</v>
      </c>
      <c r="C6" s="54">
        <f>调试清单!G11</f>
        <v>6000</v>
      </c>
      <c r="D6" s="55"/>
    </row>
    <row r="7" s="44" customFormat="1" customHeight="1" spans="1:4">
      <c r="A7" s="49" t="s">
        <v>6</v>
      </c>
      <c r="B7" s="52"/>
      <c r="C7" s="54">
        <f>SUM(C4:C6)</f>
        <v>235900</v>
      </c>
      <c r="D7" s="55"/>
    </row>
    <row r="8" s="44" customFormat="1" customHeight="1" spans="1:4">
      <c r="A8" s="57"/>
      <c r="C8" s="46"/>
    </row>
    <row r="9" s="44" customFormat="1" customHeight="1" spans="1:4">
      <c r="A9" s="57"/>
      <c r="C9" s="46"/>
    </row>
    <row r="10" s="44" customFormat="1" customHeight="1" spans="1:4">
      <c r="A10" s="57"/>
      <c r="C10" s="46"/>
    </row>
    <row r="11" s="44" customFormat="1" customHeight="1" spans="1:4">
      <c r="A11" s="57"/>
      <c r="C11" s="46"/>
    </row>
  </sheetData>
  <mergeCells count="3">
    <mergeCell ref="A1:D1"/>
    <mergeCell ref="A2:D2"/>
    <mergeCell ref="A7:B7"/>
  </mergeCells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9"/>
  <sheetViews>
    <sheetView topLeftCell="A7" workbookViewId="0">
      <selection activeCell="K6" sqref="K6"/>
    </sheetView>
  </sheetViews>
  <sheetFormatPr defaultColWidth="9" defaultRowHeight="30" customHeight="1" outlineLevelCol="7"/>
  <cols>
    <col min="1" max="1" width="5.77777777777778" style="29" customWidth="1"/>
    <col min="2" max="2" width="20.7777777777778" style="29" customWidth="1"/>
    <col min="3" max="3" width="30.7777777777778" style="29" customWidth="1"/>
    <col min="4" max="4" width="8.77777777777778" style="29" customWidth="1"/>
    <col min="5" max="5" width="8.77777777777778" style="30" customWidth="1"/>
    <col min="6" max="7" width="15.7777777777778" style="31" customWidth="1"/>
    <col min="8" max="8" width="10.7777777777778" style="29" customWidth="1"/>
    <col min="9" max="16384" width="9" style="29"/>
  </cols>
  <sheetData>
    <row r="1" customHeight="1" spans="1:8">
      <c r="A1" s="18" t="s">
        <v>7</v>
      </c>
      <c r="B1" s="18"/>
      <c r="C1" s="18"/>
      <c r="D1" s="18"/>
      <c r="E1" s="18"/>
      <c r="F1" s="18"/>
      <c r="G1" s="18"/>
      <c r="H1" s="18"/>
    </row>
    <row r="2" customHeight="1" spans="1:8">
      <c r="A2" s="32" t="s">
        <v>1</v>
      </c>
      <c r="B2" s="33"/>
      <c r="C2" s="33"/>
      <c r="D2" s="33"/>
      <c r="E2" s="33"/>
    </row>
    <row r="3" s="28" customFormat="1" customHeight="1" spans="1:8">
      <c r="A3" s="34" t="s">
        <v>2</v>
      </c>
      <c r="B3" s="34" t="s">
        <v>3</v>
      </c>
      <c r="C3" s="34" t="s">
        <v>8</v>
      </c>
      <c r="D3" s="34" t="s">
        <v>9</v>
      </c>
      <c r="E3" s="34" t="s">
        <v>10</v>
      </c>
      <c r="F3" s="35" t="s">
        <v>11</v>
      </c>
      <c r="G3" s="35" t="s">
        <v>12</v>
      </c>
      <c r="H3" s="36" t="s">
        <v>5</v>
      </c>
    </row>
    <row r="4" customHeight="1" spans="1:8">
      <c r="A4" s="22">
        <v>1</v>
      </c>
      <c r="B4" s="37" t="s">
        <v>13</v>
      </c>
      <c r="C4" s="38" t="s">
        <v>14</v>
      </c>
      <c r="D4" s="23" t="s">
        <v>15</v>
      </c>
      <c r="E4" s="22">
        <v>1</v>
      </c>
      <c r="F4" s="25">
        <v>150000</v>
      </c>
      <c r="G4" s="25">
        <f>E4*F4</f>
        <v>150000</v>
      </c>
      <c r="H4" s="39"/>
    </row>
    <row r="5" ht="45" customHeight="1" spans="1:8">
      <c r="A5" s="22">
        <v>2</v>
      </c>
      <c r="B5" s="23" t="s">
        <v>16</v>
      </c>
      <c r="C5" s="40" t="s">
        <v>17</v>
      </c>
      <c r="D5" s="23" t="s">
        <v>18</v>
      </c>
      <c r="E5" s="22">
        <v>280</v>
      </c>
      <c r="F5" s="25">
        <v>70</v>
      </c>
      <c r="G5" s="25">
        <f t="shared" ref="G5:G14" si="0">E5*F5</f>
        <v>19600</v>
      </c>
      <c r="H5" s="39"/>
    </row>
    <row r="6" ht="45" customHeight="1" spans="1:8">
      <c r="A6" s="22">
        <v>3</v>
      </c>
      <c r="B6" s="41" t="s">
        <v>19</v>
      </c>
      <c r="C6" s="40" t="s">
        <v>20</v>
      </c>
      <c r="D6" s="23" t="s">
        <v>21</v>
      </c>
      <c r="E6" s="22">
        <v>2</v>
      </c>
      <c r="F6" s="25">
        <v>0</v>
      </c>
      <c r="G6" s="25">
        <f t="shared" si="0"/>
        <v>0</v>
      </c>
      <c r="H6" s="39"/>
    </row>
    <row r="7" ht="45" customHeight="1" spans="1:8">
      <c r="A7" s="22">
        <v>4</v>
      </c>
      <c r="B7" s="41" t="s">
        <v>19</v>
      </c>
      <c r="C7" s="40" t="s">
        <v>22</v>
      </c>
      <c r="D7" s="23" t="s">
        <v>21</v>
      </c>
      <c r="E7" s="22">
        <v>1</v>
      </c>
      <c r="F7" s="25">
        <v>0</v>
      </c>
      <c r="G7" s="25">
        <f t="shared" si="0"/>
        <v>0</v>
      </c>
      <c r="H7" s="39"/>
    </row>
    <row r="8" ht="45" customHeight="1" spans="1:8">
      <c r="A8" s="22">
        <v>5</v>
      </c>
      <c r="B8" s="23" t="s">
        <v>23</v>
      </c>
      <c r="C8" s="40" t="s">
        <v>24</v>
      </c>
      <c r="D8" s="23" t="s">
        <v>25</v>
      </c>
      <c r="E8" s="22">
        <v>6</v>
      </c>
      <c r="F8" s="25">
        <v>0</v>
      </c>
      <c r="G8" s="25">
        <f t="shared" si="0"/>
        <v>0</v>
      </c>
      <c r="H8" s="39"/>
    </row>
    <row r="9" customHeight="1" spans="1:8">
      <c r="A9" s="22">
        <v>6</v>
      </c>
      <c r="B9" s="23" t="s">
        <v>26</v>
      </c>
      <c r="C9" s="42" t="s">
        <v>27</v>
      </c>
      <c r="D9" s="23" t="s">
        <v>18</v>
      </c>
      <c r="E9" s="22">
        <v>247</v>
      </c>
      <c r="F9" s="25">
        <v>0</v>
      </c>
      <c r="G9" s="25">
        <f t="shared" si="0"/>
        <v>0</v>
      </c>
      <c r="H9" s="39"/>
    </row>
    <row r="10" customHeight="1" spans="1:8">
      <c r="A10" s="22">
        <v>7</v>
      </c>
      <c r="B10" s="23" t="s">
        <v>28</v>
      </c>
      <c r="C10" s="43" t="s">
        <v>29</v>
      </c>
      <c r="D10" s="23" t="s">
        <v>25</v>
      </c>
      <c r="E10" s="22">
        <v>10</v>
      </c>
      <c r="F10" s="25">
        <v>50</v>
      </c>
      <c r="G10" s="25">
        <f t="shared" si="0"/>
        <v>500</v>
      </c>
      <c r="H10" s="39"/>
    </row>
    <row r="11" customHeight="1" spans="1:8">
      <c r="A11" s="22">
        <v>8</v>
      </c>
      <c r="B11" s="23" t="s">
        <v>30</v>
      </c>
      <c r="C11" s="40" t="s">
        <v>31</v>
      </c>
      <c r="D11" s="23" t="s">
        <v>21</v>
      </c>
      <c r="E11" s="22">
        <v>2</v>
      </c>
      <c r="F11" s="25">
        <v>70</v>
      </c>
      <c r="G11" s="25">
        <f t="shared" si="0"/>
        <v>140</v>
      </c>
      <c r="H11" s="39"/>
    </row>
    <row r="12" customHeight="1" spans="1:8">
      <c r="A12" s="22">
        <v>9</v>
      </c>
      <c r="B12" s="23" t="s">
        <v>32</v>
      </c>
      <c r="C12" s="39"/>
      <c r="D12" s="23" t="s">
        <v>33</v>
      </c>
      <c r="E12" s="22">
        <v>2</v>
      </c>
      <c r="F12" s="25">
        <v>10</v>
      </c>
      <c r="G12" s="25">
        <f t="shared" si="0"/>
        <v>20</v>
      </c>
      <c r="H12" s="39"/>
    </row>
    <row r="13" customHeight="1" spans="1:8">
      <c r="A13" s="22">
        <v>10</v>
      </c>
      <c r="B13" s="23" t="s">
        <v>34</v>
      </c>
      <c r="C13" s="43" t="s">
        <v>35</v>
      </c>
      <c r="D13" s="23" t="s">
        <v>36</v>
      </c>
      <c r="E13" s="22">
        <v>2</v>
      </c>
      <c r="F13" s="25">
        <v>30</v>
      </c>
      <c r="G13" s="25">
        <f t="shared" si="0"/>
        <v>60</v>
      </c>
      <c r="H13" s="39"/>
    </row>
    <row r="14" customHeight="1" spans="1:8">
      <c r="A14" s="22">
        <v>11</v>
      </c>
      <c r="B14" s="23" t="s">
        <v>37</v>
      </c>
      <c r="C14" s="39"/>
      <c r="D14" s="37" t="s">
        <v>38</v>
      </c>
      <c r="E14" s="22">
        <v>4</v>
      </c>
      <c r="F14" s="25">
        <v>50</v>
      </c>
      <c r="G14" s="25">
        <f t="shared" si="0"/>
        <v>200</v>
      </c>
      <c r="H14" s="39"/>
    </row>
    <row r="15" customHeight="1" spans="1:8">
      <c r="A15" s="24" t="s">
        <v>6</v>
      </c>
      <c r="B15" s="22"/>
      <c r="C15" s="22"/>
      <c r="D15" s="22"/>
      <c r="E15" s="22"/>
      <c r="F15" s="22"/>
      <c r="G15" s="25">
        <f>SUM(G4:G14)</f>
        <v>170520</v>
      </c>
      <c r="H15" s="39"/>
    </row>
    <row r="16" customHeight="1" spans="1:8">
      <c r="A16" s="30"/>
    </row>
    <row r="17" customHeight="1" spans="1:1">
      <c r="A17" s="30"/>
    </row>
    <row r="18" customHeight="1" spans="1:1">
      <c r="A18" s="30"/>
    </row>
    <row r="19" customHeight="1" spans="1:1">
      <c r="A19" s="30"/>
    </row>
  </sheetData>
  <mergeCells count="3">
    <mergeCell ref="A1:H1"/>
    <mergeCell ref="A2:E2"/>
    <mergeCell ref="A15:F15"/>
  </mergeCells>
  <pageMargins left="0.75" right="0.75" top="1" bottom="1" header="0.5" footer="0.5"/>
  <pageSetup paperSize="9" scale="75" fitToHeight="0" orientation="portrait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1"/>
  <sheetViews>
    <sheetView workbookViewId="0">
      <selection activeCell="A1" sqref="A1:H1"/>
    </sheetView>
  </sheetViews>
  <sheetFormatPr defaultColWidth="9" defaultRowHeight="30" customHeight="1" outlineLevelCol="7"/>
  <cols>
    <col min="1" max="1" width="5.77777777777778" customWidth="1"/>
    <col min="2" max="2" width="20.7777777777778" customWidth="1"/>
    <col min="3" max="3" width="30.7777777777778" customWidth="1"/>
    <col min="4" max="5" width="8.77777777777778" customWidth="1"/>
    <col min="6" max="7" width="15.7777777777778" style="17" customWidth="1"/>
    <col min="8" max="8" width="10.7777777777778" style="2" customWidth="1"/>
  </cols>
  <sheetData>
    <row r="1" customHeight="1" spans="1:8">
      <c r="A1" s="18" t="s">
        <v>39</v>
      </c>
      <c r="B1" s="18"/>
      <c r="C1" s="18"/>
      <c r="D1" s="18"/>
      <c r="E1" s="18"/>
      <c r="F1" s="18"/>
      <c r="G1" s="18"/>
      <c r="H1" s="18"/>
    </row>
    <row r="2" customHeight="1" spans="1:8">
      <c r="A2" s="19" t="s">
        <v>1</v>
      </c>
      <c r="B2" s="19"/>
      <c r="C2" s="19"/>
      <c r="D2" s="19"/>
      <c r="E2" s="19"/>
    </row>
    <row r="3" s="2" customFormat="1" customHeight="1" spans="1:8">
      <c r="A3" s="20" t="s">
        <v>2</v>
      </c>
      <c r="B3" s="20" t="s">
        <v>3</v>
      </c>
      <c r="C3" s="20" t="s">
        <v>8</v>
      </c>
      <c r="D3" s="20" t="s">
        <v>9</v>
      </c>
      <c r="E3" s="20" t="s">
        <v>10</v>
      </c>
      <c r="F3" s="21" t="s">
        <v>11</v>
      </c>
      <c r="G3" s="21" t="s">
        <v>12</v>
      </c>
      <c r="H3" s="8" t="s">
        <v>5</v>
      </c>
    </row>
    <row r="4" customHeight="1" spans="1:8">
      <c r="A4" s="22">
        <v>1</v>
      </c>
      <c r="B4" s="23" t="s">
        <v>40</v>
      </c>
      <c r="C4" s="24" t="s">
        <v>41</v>
      </c>
      <c r="D4" s="23" t="s">
        <v>42</v>
      </c>
      <c r="E4" s="22">
        <v>1</v>
      </c>
      <c r="F4" s="25">
        <v>18000</v>
      </c>
      <c r="G4" s="25">
        <f>E4*F4</f>
        <v>18000</v>
      </c>
      <c r="H4" s="13"/>
    </row>
    <row r="5" customFormat="1" customHeight="1" spans="1:8">
      <c r="A5" s="22">
        <v>2</v>
      </c>
      <c r="B5" s="23" t="s">
        <v>43</v>
      </c>
      <c r="C5" s="24" t="s">
        <v>41</v>
      </c>
      <c r="D5" s="23" t="s">
        <v>15</v>
      </c>
      <c r="E5" s="22">
        <v>1</v>
      </c>
      <c r="F5" s="25">
        <v>2000</v>
      </c>
      <c r="G5" s="25">
        <f>E5*F5</f>
        <v>2000</v>
      </c>
      <c r="H5" s="13"/>
    </row>
    <row r="6" customFormat="1" customHeight="1" spans="1:8">
      <c r="A6" s="22">
        <v>3</v>
      </c>
      <c r="B6" s="23" t="s">
        <v>44</v>
      </c>
      <c r="C6" s="24" t="s">
        <v>45</v>
      </c>
      <c r="D6" s="23" t="s">
        <v>18</v>
      </c>
      <c r="E6" s="22">
        <v>280</v>
      </c>
      <c r="F6" s="25">
        <v>18</v>
      </c>
      <c r="G6" s="25">
        <f>E6*F6</f>
        <v>5040</v>
      </c>
      <c r="H6" s="13"/>
    </row>
    <row r="7" s="16" customFormat="1" customHeight="1" spans="1:8">
      <c r="A7" s="22">
        <v>4</v>
      </c>
      <c r="B7" s="23" t="s">
        <v>46</v>
      </c>
      <c r="C7" s="10" t="s">
        <v>47</v>
      </c>
      <c r="D7" s="10" t="s">
        <v>21</v>
      </c>
      <c r="E7" s="9">
        <v>3</v>
      </c>
      <c r="F7" s="26">
        <v>1500</v>
      </c>
      <c r="G7" s="26">
        <f>E7*F7</f>
        <v>4500</v>
      </c>
      <c r="H7" s="15" t="s">
        <v>48</v>
      </c>
    </row>
    <row r="8" customHeight="1" spans="1:8">
      <c r="A8" s="22">
        <v>5</v>
      </c>
      <c r="B8" s="27" t="s">
        <v>49</v>
      </c>
      <c r="C8" s="24" t="s">
        <v>29</v>
      </c>
      <c r="D8" s="23" t="s">
        <v>25</v>
      </c>
      <c r="E8" s="22">
        <v>10</v>
      </c>
      <c r="F8" s="25">
        <v>20</v>
      </c>
      <c r="G8" s="25">
        <f>E8*F8</f>
        <v>200</v>
      </c>
      <c r="H8" s="13"/>
    </row>
    <row r="9" customHeight="1" spans="1:8">
      <c r="A9" s="22">
        <v>6</v>
      </c>
      <c r="B9" s="27" t="s">
        <v>50</v>
      </c>
      <c r="C9" s="24" t="s">
        <v>51</v>
      </c>
      <c r="D9" s="23" t="s">
        <v>18</v>
      </c>
      <c r="E9" s="22">
        <v>247</v>
      </c>
      <c r="F9" s="25">
        <v>120</v>
      </c>
      <c r="G9" s="25">
        <f>E9*F9</f>
        <v>29640</v>
      </c>
      <c r="H9" s="15" t="s">
        <v>48</v>
      </c>
    </row>
    <row r="10" customHeight="1" spans="1:8">
      <c r="A10" s="22">
        <v>7</v>
      </c>
      <c r="B10" s="27" t="s">
        <v>52</v>
      </c>
      <c r="C10" s="22"/>
      <c r="D10" s="23" t="s">
        <v>18</v>
      </c>
      <c r="E10" s="22">
        <v>40</v>
      </c>
      <c r="F10" s="25">
        <v>0</v>
      </c>
      <c r="G10" s="25">
        <f>E10*F10</f>
        <v>0</v>
      </c>
      <c r="H10" s="13"/>
    </row>
    <row r="11" customHeight="1" spans="1:8">
      <c r="A11" s="15" t="s">
        <v>6</v>
      </c>
      <c r="B11" s="13"/>
      <c r="C11" s="13"/>
      <c r="D11" s="13"/>
      <c r="E11" s="13"/>
      <c r="F11" s="13"/>
      <c r="G11" s="25">
        <f>SUM(G4:G10)</f>
        <v>59380</v>
      </c>
      <c r="H11" s="13"/>
    </row>
  </sheetData>
  <mergeCells count="3">
    <mergeCell ref="A1:H1"/>
    <mergeCell ref="A2:E2"/>
    <mergeCell ref="A11:F11"/>
  </mergeCells>
  <pageMargins left="0.75" right="0.75" top="1" bottom="1" header="0.5" footer="0.5"/>
  <pageSetup paperSize="9" scale="75" fitToHeight="0" orientation="portrait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11"/>
  <sheetViews>
    <sheetView workbookViewId="0">
      <selection activeCell="K7" sqref="K7"/>
    </sheetView>
  </sheetViews>
  <sheetFormatPr defaultColWidth="9" defaultRowHeight="30" customHeight="1"/>
  <cols>
    <col min="1" max="1" width="5.77777777777778" customWidth="1"/>
    <col min="2" max="2" width="20.7777777777778" customWidth="1"/>
    <col min="3" max="3" width="30.7777777777778" customWidth="1"/>
    <col min="4" max="5" width="8.77777777777778" customWidth="1"/>
    <col min="6" max="7" width="15.7777777777778" style="1" customWidth="1"/>
    <col min="8" max="8" width="10.7777777777778" style="2" customWidth="1"/>
  </cols>
  <sheetData>
    <row r="1" customHeight="1" spans="1:13">
      <c r="A1" s="3" t="s">
        <v>53</v>
      </c>
      <c r="B1" s="3"/>
      <c r="C1" s="3"/>
      <c r="D1" s="3"/>
      <c r="E1" s="3"/>
      <c r="F1" s="4"/>
      <c r="G1" s="4"/>
      <c r="H1" s="3"/>
    </row>
    <row r="2" customHeight="1" spans="1:13">
      <c r="A2" s="5" t="s">
        <v>1</v>
      </c>
      <c r="B2" s="5"/>
      <c r="C2" s="5"/>
      <c r="D2" s="5"/>
      <c r="E2" s="5"/>
    </row>
    <row r="3" customHeight="1" spans="1:13">
      <c r="A3" s="6" t="s">
        <v>2</v>
      </c>
      <c r="B3" s="6" t="s">
        <v>3</v>
      </c>
      <c r="C3" s="6" t="s">
        <v>8</v>
      </c>
      <c r="D3" s="6" t="s">
        <v>9</v>
      </c>
      <c r="E3" s="6" t="s">
        <v>10</v>
      </c>
      <c r="F3" s="7" t="s">
        <v>11</v>
      </c>
      <c r="G3" s="7" t="s">
        <v>12</v>
      </c>
      <c r="H3" s="8" t="s">
        <v>5</v>
      </c>
    </row>
    <row r="4" customHeight="1" spans="1:13">
      <c r="A4" s="9">
        <v>1</v>
      </c>
      <c r="B4" s="10" t="s">
        <v>54</v>
      </c>
      <c r="C4" s="11" t="s">
        <v>55</v>
      </c>
      <c r="D4" s="10" t="s">
        <v>56</v>
      </c>
      <c r="E4" s="9">
        <v>1</v>
      </c>
      <c r="F4" s="12">
        <v>1500</v>
      </c>
      <c r="G4" s="12">
        <f t="shared" ref="G4:G10" si="0">E4*F4</f>
        <v>1500</v>
      </c>
      <c r="H4" s="13"/>
    </row>
    <row r="5" customHeight="1" spans="1:13">
      <c r="A5" s="9">
        <v>2</v>
      </c>
      <c r="B5" s="10" t="s">
        <v>57</v>
      </c>
      <c r="C5" s="11" t="s">
        <v>58</v>
      </c>
      <c r="D5" s="10" t="s">
        <v>56</v>
      </c>
      <c r="E5" s="9">
        <v>1</v>
      </c>
      <c r="F5" s="12">
        <v>500</v>
      </c>
      <c r="G5" s="12">
        <f t="shared" si="0"/>
        <v>500</v>
      </c>
      <c r="H5" s="13"/>
      <c r="M5" s="2"/>
    </row>
    <row r="6" customHeight="1" spans="1:13">
      <c r="A6" s="9">
        <v>3</v>
      </c>
      <c r="B6" s="10" t="s">
        <v>59</v>
      </c>
      <c r="C6" s="11" t="s">
        <v>60</v>
      </c>
      <c r="D6" s="10" t="s">
        <v>61</v>
      </c>
      <c r="E6" s="9">
        <v>1</v>
      </c>
      <c r="F6" s="12">
        <v>1000</v>
      </c>
      <c r="G6" s="12">
        <f t="shared" si="0"/>
        <v>1000</v>
      </c>
      <c r="H6" s="13"/>
    </row>
    <row r="7" customHeight="1" spans="1:13">
      <c r="A7" s="9">
        <v>4</v>
      </c>
      <c r="B7" s="10" t="s">
        <v>62</v>
      </c>
      <c r="C7" s="11" t="s">
        <v>63</v>
      </c>
      <c r="D7" s="10" t="s">
        <v>56</v>
      </c>
      <c r="E7" s="9">
        <v>1</v>
      </c>
      <c r="F7" s="12">
        <v>500</v>
      </c>
      <c r="G7" s="12">
        <f t="shared" si="0"/>
        <v>500</v>
      </c>
      <c r="H7" s="13"/>
    </row>
    <row r="8" customHeight="1" spans="1:13">
      <c r="A8" s="9">
        <v>5</v>
      </c>
      <c r="B8" s="10" t="s">
        <v>64</v>
      </c>
      <c r="C8" s="11" t="s">
        <v>65</v>
      </c>
      <c r="D8" s="10" t="s">
        <v>66</v>
      </c>
      <c r="E8" s="9">
        <v>2</v>
      </c>
      <c r="F8" s="12">
        <v>500</v>
      </c>
      <c r="G8" s="12">
        <f t="shared" si="0"/>
        <v>1000</v>
      </c>
      <c r="H8" s="13"/>
    </row>
    <row r="9" customHeight="1" spans="1:13">
      <c r="A9" s="9">
        <v>6</v>
      </c>
      <c r="B9" s="10" t="s">
        <v>67</v>
      </c>
      <c r="C9" s="11" t="s">
        <v>68</v>
      </c>
      <c r="D9" s="10" t="s">
        <v>66</v>
      </c>
      <c r="E9" s="9">
        <v>1</v>
      </c>
      <c r="F9" s="12">
        <v>500</v>
      </c>
      <c r="G9" s="12">
        <f t="shared" si="0"/>
        <v>500</v>
      </c>
      <c r="H9" s="13"/>
    </row>
    <row r="10" customHeight="1" spans="1:13">
      <c r="A10" s="9">
        <v>7</v>
      </c>
      <c r="B10" s="10" t="s">
        <v>69</v>
      </c>
      <c r="C10" s="14" t="s">
        <v>70</v>
      </c>
      <c r="D10" s="10" t="s">
        <v>66</v>
      </c>
      <c r="E10" s="9">
        <v>2</v>
      </c>
      <c r="F10" s="12">
        <v>500</v>
      </c>
      <c r="G10" s="12">
        <f t="shared" si="0"/>
        <v>1000</v>
      </c>
      <c r="H10" s="13"/>
    </row>
    <row r="11" customHeight="1" spans="1:13">
      <c r="A11" s="15" t="s">
        <v>6</v>
      </c>
      <c r="B11" s="13"/>
      <c r="C11" s="13"/>
      <c r="D11" s="13"/>
      <c r="E11" s="13"/>
      <c r="F11" s="12"/>
      <c r="G11" s="12">
        <f>SUM(G4:G10)</f>
        <v>6000</v>
      </c>
      <c r="H11" s="13"/>
    </row>
  </sheetData>
  <mergeCells count="3">
    <mergeCell ref="A1:H1"/>
    <mergeCell ref="A2:E2"/>
    <mergeCell ref="A11:F11"/>
  </mergeCells>
  <pageMargins left="0.75" right="0.75" top="1" bottom="1" header="0.5" footer="0.5"/>
  <pageSetup paperSize="9" scale="75" fitToHeight="0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汇总清单</vt:lpstr>
      <vt:lpstr>材料清单</vt:lpstr>
      <vt:lpstr>施工清单</vt:lpstr>
      <vt:lpstr>调试清单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李长春</cp:lastModifiedBy>
  <dcterms:created xsi:type="dcterms:W3CDTF">2025-12-01T06:42:00Z</dcterms:created>
  <dcterms:modified xsi:type="dcterms:W3CDTF">2025-12-05T02:23:53Z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2A367770EC0C4341BB1B1A83722933B0_13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